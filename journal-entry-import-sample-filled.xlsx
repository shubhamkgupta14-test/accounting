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hubham\e-comm\accounting\"/>
    </mc:Choice>
  </mc:AlternateContent>
  <xr:revisionPtr revIDLastSave="0" documentId="13_ncr:1_{44A12CC0-A92D-4B73-A968-04DE4B1ED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urnal Entries" sheetId="1" r:id="rId1"/>
    <sheet name="Ledgers" sheetId="2" r:id="rId2"/>
  </sheets>
  <definedNames>
    <definedName name="_xlnm._FilterDatabase" localSheetId="0" hidden="1">'Journal Entries'!$A$1:$G$105</definedName>
    <definedName name="_xlnm.Print_Titles" localSheetId="0">'Journal Entries'!$1:$1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2" l="1"/>
  <c r="F65" i="2"/>
  <c r="C60" i="2"/>
  <c r="F56" i="2"/>
  <c r="C51" i="2"/>
  <c r="C46" i="2"/>
  <c r="C40" i="2"/>
  <c r="F34" i="2"/>
  <c r="C27" i="2"/>
  <c r="C22" i="2"/>
  <c r="C16" i="2"/>
  <c r="F10" i="2"/>
  <c r="C3" i="2"/>
  <c r="D1" i="2" l="1"/>
</calcChain>
</file>

<file path=xl/sharedStrings.xml><?xml version="1.0" encoding="utf-8"?>
<sst xmlns="http://schemas.openxmlformats.org/spreadsheetml/2006/main" count="254" uniqueCount="161">
  <si>
    <t>No</t>
  </si>
  <si>
    <t>Voucher No</t>
  </si>
  <si>
    <t>Date</t>
  </si>
  <si>
    <t>Narration</t>
  </si>
  <si>
    <t>Account</t>
  </si>
  <si>
    <t>Debit</t>
  </si>
  <si>
    <t>Credit</t>
  </si>
  <si>
    <t>REAL-JV-001</t>
  </si>
  <si>
    <t>Business started with cash ?8,00,000</t>
  </si>
  <si>
    <t>Cash</t>
  </si>
  <si>
    <t>Capital</t>
  </si>
  <si>
    <t>REAL-JV-002</t>
  </si>
  <si>
    <t>Deposited ?5,00,000 into bank</t>
  </si>
  <si>
    <t>Bank Account</t>
  </si>
  <si>
    <t>REAL-JV-003</t>
  </si>
  <si>
    <t>Purchased goods for cash ?1,20,000</t>
  </si>
  <si>
    <t>Purchases</t>
  </si>
  <si>
    <t>REAL-JV-004</t>
  </si>
  <si>
    <t>Purchased goods from Aman Traders on credit ?2,00,000</t>
  </si>
  <si>
    <t>Aman Traders</t>
  </si>
  <si>
    <t>REAL-JV-005</t>
  </si>
  <si>
    <t>Cash sales ?1,60,000</t>
  </si>
  <si>
    <t>Sales</t>
  </si>
  <si>
    <t>REAL-JV-006</t>
  </si>
  <si>
    <t>Credit sales to Ravi ?1,50,000</t>
  </si>
  <si>
    <t>Ravi</t>
  </si>
  <si>
    <t>REAL-JV-007</t>
  </si>
  <si>
    <t>Paid wages ?18,000</t>
  </si>
  <si>
    <t>Wages</t>
  </si>
  <si>
    <t>REAL-JV-008</t>
  </si>
  <si>
    <t>Paid rent through bank ?20,000</t>
  </si>
  <si>
    <t>Rent Expense</t>
  </si>
  <si>
    <t>REAL-JV-009</t>
  </si>
  <si>
    <t>Returned goods to Aman Traders ?15,000</t>
  </si>
  <si>
    <t>Purchase Returns</t>
  </si>
  <si>
    <t>REAL-JV-010</t>
  </si>
  <si>
    <t>Ravi returned goods ?10,000</t>
  </si>
  <si>
    <t>Sales Returns</t>
  </si>
  <si>
    <t>REAL-JV-011</t>
  </si>
  <si>
    <t>Received cheque from Ravi ?1,00,000</t>
  </si>
  <si>
    <t>REAL-JV-012</t>
  </si>
  <si>
    <t>Paid Aman Traders ?1,70,000 through bank and received discount ?15,000</t>
  </si>
  <si>
    <t>Discount Received</t>
  </si>
  <si>
    <t>REAL-JV-013</t>
  </si>
  <si>
    <t>Owner withdrew cash ?25,000 for personal use</t>
  </si>
  <si>
    <t>Drawings</t>
  </si>
  <si>
    <t>REAL-JV-014</t>
  </si>
  <si>
    <t>Closing Stock valued at ?2,10,000</t>
  </si>
  <si>
    <t>Stock-in-hand</t>
  </si>
  <si>
    <t>REAL-JV-015</t>
  </si>
  <si>
    <t>Opening Stock ?2,10,000 brought forward</t>
  </si>
  <si>
    <t>REAL-JV-016</t>
  </si>
  <si>
    <t>Purchased goods from Bharat Suppliers ?2,40,000</t>
  </si>
  <si>
    <t>Bharat Suppliers</t>
  </si>
  <si>
    <t>REAL-JV-017</t>
  </si>
  <si>
    <t>Cash sales ?1,80,000</t>
  </si>
  <si>
    <t>REAL-JV-018</t>
  </si>
  <si>
    <t>Credit sales to Neha ?1,70,000</t>
  </si>
  <si>
    <t>Neha</t>
  </si>
  <si>
    <t>REAL-JV-019</t>
  </si>
  <si>
    <t>Received cash from Neha ?1,68,000 allowing ?2,000 discount</t>
  </si>
  <si>
    <t>Discount Allowed</t>
  </si>
  <si>
    <t>REAL-JV-020</t>
  </si>
  <si>
    <t>Paid electricity through bank ?8,000</t>
  </si>
  <si>
    <t>Electricity Expense</t>
  </si>
  <si>
    <t>REAL-JV-021</t>
  </si>
  <si>
    <t>Purchased goods for cash ?90,000</t>
  </si>
  <si>
    <t>REAL-JV-022</t>
  </si>
  <si>
    <t>Received commission in bank ?12,000</t>
  </si>
  <si>
    <t>Commission Received</t>
  </si>
  <si>
    <t>REAL-JV-023</t>
  </si>
  <si>
    <t>Paid insurance through bank ?15,000</t>
  </si>
  <si>
    <t>Insurance Expense</t>
  </si>
  <si>
    <t>REAL-JV-024</t>
  </si>
  <si>
    <t>Purchased goods from City Wholesalers ?1,80,000</t>
  </si>
  <si>
    <t>City Wholesalers</t>
  </si>
  <si>
    <t>REAL-JV-025</t>
  </si>
  <si>
    <t>Returned goods to City Wholesalers ?20,000</t>
  </si>
  <si>
    <t>REAL-JV-026</t>
  </si>
  <si>
    <t>Cash sales ?2,20,000</t>
  </si>
  <si>
    <t>REAL-JV-027</t>
  </si>
  <si>
    <t>Credit sales to Amit ?2,10,000</t>
  </si>
  <si>
    <t>Amit</t>
  </si>
  <si>
    <t>REAL-JV-028</t>
  </si>
  <si>
    <t>Received cheque from Amit ?2,10,000</t>
  </si>
  <si>
    <t>REAL-JV-029</t>
  </si>
  <si>
    <t>Cheque from Amit dishonoured</t>
  </si>
  <si>
    <t>REAL-JV-030</t>
  </si>
  <si>
    <t>Received cash ?2,05,000 from Amit allowing ?5,000 discount</t>
  </si>
  <si>
    <t>REAL-JV-031</t>
  </si>
  <si>
    <t>Paid salaries ?45,000</t>
  </si>
  <si>
    <t>Salaries</t>
  </si>
  <si>
    <t>REAL-JV-032</t>
  </si>
  <si>
    <t>Advertisement expenses paid ?18,000</t>
  </si>
  <si>
    <t>Advertisement Expense</t>
  </si>
  <si>
    <t>REAL-JV-033</t>
  </si>
  <si>
    <t>Owner withdrew goods worth ?12,000</t>
  </si>
  <si>
    <t>REAL-JV-034</t>
  </si>
  <si>
    <t>Received bank interest ?6,500</t>
  </si>
  <si>
    <t>Interest Received</t>
  </si>
  <si>
    <t>REAL-JV-035</t>
  </si>
  <si>
    <t>Paid City Wholesalers ?1,58,000 receiving ?2,000 discount</t>
  </si>
  <si>
    <t>REAL-JV-036</t>
  </si>
  <si>
    <t>Closing Stock valued at ?3,20,000</t>
  </si>
  <si>
    <t>REAL-JV-037</t>
  </si>
  <si>
    <t>Opening Stock ?3,20,000 brought forward</t>
  </si>
  <si>
    <t>REAL-JV-038</t>
  </si>
  <si>
    <t>Purchased goods ?1,50,000</t>
  </si>
  <si>
    <t>REAL-JV-039</t>
  </si>
  <si>
    <t>Cash sales ?2,10,000</t>
  </si>
  <si>
    <t>REAL-JV-040</t>
  </si>
  <si>
    <t>Credit sales ?1,80,000</t>
  </si>
  <si>
    <t>Sundry Debtors</t>
  </si>
  <si>
    <t>REAL-JV-041</t>
  </si>
  <si>
    <t>Received payment from customer through bank ?1,80,000</t>
  </si>
  <si>
    <t>REAL-JV-042</t>
  </si>
  <si>
    <t>Paid wages ?12,000</t>
  </si>
  <si>
    <t>REAL-JV-043</t>
  </si>
  <si>
    <t>Paid office rent ?24,000</t>
  </si>
  <si>
    <t>REAL-JV-044</t>
  </si>
  <si>
    <t>Purchased goods for cash ?80,000</t>
  </si>
  <si>
    <t>REAL-JV-045</t>
  </si>
  <si>
    <t>Sales return ?8,000</t>
  </si>
  <si>
    <t>REAL-JV-046</t>
  </si>
  <si>
    <t>Purchase return ?10,000</t>
  </si>
  <si>
    <t>REAL-JV-047</t>
  </si>
  <si>
    <t>Received commission ?5,000</t>
  </si>
  <si>
    <t>REAL-JV-048</t>
  </si>
  <si>
    <t>Owner withdrew cash ?15,000</t>
  </si>
  <si>
    <t>REAL-JV-049</t>
  </si>
  <si>
    <t>Paid bank charges ?1,200</t>
  </si>
  <si>
    <t>Bank Charges</t>
  </si>
  <si>
    <t>REAL-JV-050</t>
  </si>
  <si>
    <t>Closing Stock (Management Report) ?3,60,000 ? reporting valuation, not FY closing</t>
  </si>
  <si>
    <t>to cash</t>
  </si>
  <si>
    <t>by cash</t>
  </si>
  <si>
    <t>to capital</t>
  </si>
  <si>
    <t>Bank</t>
  </si>
  <si>
    <t>by bank</t>
  </si>
  <si>
    <t>Purchase</t>
  </si>
  <si>
    <t>by purchase</t>
  </si>
  <si>
    <t>Aman</t>
  </si>
  <si>
    <t>to aman</t>
  </si>
  <si>
    <t>to sales</t>
  </si>
  <si>
    <t>by ravi</t>
  </si>
  <si>
    <t>by wages</t>
  </si>
  <si>
    <t>Rent</t>
  </si>
  <si>
    <t>to bank</t>
  </si>
  <si>
    <t>by rent</t>
  </si>
  <si>
    <t>Purchase Ret</t>
  </si>
  <si>
    <t>to purch ret</t>
  </si>
  <si>
    <t>by aman</t>
  </si>
  <si>
    <t>Sales Ret</t>
  </si>
  <si>
    <t>to ravi</t>
  </si>
  <si>
    <t>by sales ret</t>
  </si>
  <si>
    <t>Discount recv</t>
  </si>
  <si>
    <t>to disc recv</t>
  </si>
  <si>
    <t>Drawing</t>
  </si>
  <si>
    <t>by drawing</t>
  </si>
  <si>
    <t>Dr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</si>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</sst>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\-mm\-yyyy"/>
    <numFmt numFmtId="165" formatCode="?#,##0;[Red]\-?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rgb="FFB4C6E7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0" applyNumberFormat="1" applyFont="1"/>
    <xf numFmtId="44" fontId="2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showGridLines="0" tabSelected="1" workbookViewId="0">
      <pane ySplit="1" topLeftCell="A88" activePane="bottomLeft" state="frozen"/>
      <selection pane="bottomLeft" activeCell="B2" sqref="B2:G105"/>
    </sheetView>
  </sheetViews>
  <sheetFormatPr defaultRowHeight="14.4" x14ac:dyDescent="0.3"/>
  <cols>
    <col min="1" max="1" width="8" customWidth="1"/>
    <col min="2" max="2" width="18" customWidth="1"/>
    <col min="3" max="3" width="14" customWidth="1"/>
    <col min="4" max="4" width="72" customWidth="1"/>
    <col min="5" max="5" width="25" customWidth="1"/>
    <col min="6" max="7" width="16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3">
        <v>45717</v>
      </c>
      <c r="D2" s="2" t="s">
        <v>8</v>
      </c>
      <c r="E2" s="2" t="s">
        <v>9</v>
      </c>
      <c r="F2" s="4">
        <v>800000</v>
      </c>
      <c r="G2" s="4">
        <v>0</v>
      </c>
    </row>
    <row r="3" spans="1:7" x14ac:dyDescent="0.3">
      <c r="C3" s="5"/>
      <c r="E3" t="s">
        <v>10</v>
      </c>
      <c r="F3" s="6">
        <v>0</v>
      </c>
      <c r="G3" s="6">
        <v>800000</v>
      </c>
    </row>
    <row r="4" spans="1:7" x14ac:dyDescent="0.3">
      <c r="A4" s="2">
        <v>2</v>
      </c>
      <c r="B4" s="2" t="s">
        <v>11</v>
      </c>
      <c r="C4" s="3">
        <v>45718</v>
      </c>
      <c r="D4" s="2" t="s">
        <v>12</v>
      </c>
      <c r="E4" s="2" t="s">
        <v>13</v>
      </c>
      <c r="F4" s="4">
        <v>500000</v>
      </c>
      <c r="G4" s="4">
        <v>0</v>
      </c>
    </row>
    <row r="5" spans="1:7" x14ac:dyDescent="0.3">
      <c r="C5" s="5"/>
      <c r="E5" t="s">
        <v>9</v>
      </c>
      <c r="F5" s="6">
        <v>0</v>
      </c>
      <c r="G5" s="6">
        <v>500000</v>
      </c>
    </row>
    <row r="6" spans="1:7" x14ac:dyDescent="0.3">
      <c r="A6" s="2">
        <v>3</v>
      </c>
      <c r="B6" s="2" t="s">
        <v>14</v>
      </c>
      <c r="C6" s="3">
        <v>45719</v>
      </c>
      <c r="D6" s="2" t="s">
        <v>15</v>
      </c>
      <c r="E6" s="2" t="s">
        <v>16</v>
      </c>
      <c r="F6" s="4">
        <v>120000</v>
      </c>
      <c r="G6" s="4">
        <v>0</v>
      </c>
    </row>
    <row r="7" spans="1:7" x14ac:dyDescent="0.3">
      <c r="C7" s="5"/>
      <c r="E7" t="s">
        <v>9</v>
      </c>
      <c r="F7" s="6">
        <v>0</v>
      </c>
      <c r="G7" s="6">
        <v>120000</v>
      </c>
    </row>
    <row r="8" spans="1:7" x14ac:dyDescent="0.3">
      <c r="A8" s="2">
        <v>4</v>
      </c>
      <c r="B8" s="2" t="s">
        <v>17</v>
      </c>
      <c r="C8" s="3">
        <v>45721</v>
      </c>
      <c r="D8" s="2" t="s">
        <v>18</v>
      </c>
      <c r="E8" s="2" t="s">
        <v>16</v>
      </c>
      <c r="F8" s="4">
        <v>200000</v>
      </c>
      <c r="G8" s="4">
        <v>0</v>
      </c>
    </row>
    <row r="9" spans="1:7" x14ac:dyDescent="0.3">
      <c r="C9" s="5"/>
      <c r="E9" t="s">
        <v>19</v>
      </c>
      <c r="F9" s="6">
        <v>0</v>
      </c>
      <c r="G9" s="6">
        <v>200000</v>
      </c>
    </row>
    <row r="10" spans="1:7" x14ac:dyDescent="0.3">
      <c r="A10" s="2">
        <v>5</v>
      </c>
      <c r="B10" s="2" t="s">
        <v>20</v>
      </c>
      <c r="C10" s="3">
        <v>45723</v>
      </c>
      <c r="D10" s="2" t="s">
        <v>21</v>
      </c>
      <c r="E10" s="2" t="s">
        <v>9</v>
      </c>
      <c r="F10" s="4">
        <v>160000</v>
      </c>
      <c r="G10" s="4">
        <v>0</v>
      </c>
    </row>
    <row r="11" spans="1:7" x14ac:dyDescent="0.3">
      <c r="C11" s="5"/>
      <c r="E11" t="s">
        <v>22</v>
      </c>
      <c r="F11" s="6">
        <v>0</v>
      </c>
      <c r="G11" s="6">
        <v>160000</v>
      </c>
    </row>
    <row r="12" spans="1:7" x14ac:dyDescent="0.3">
      <c r="A12" s="2">
        <v>6</v>
      </c>
      <c r="B12" s="2" t="s">
        <v>23</v>
      </c>
      <c r="C12" s="3">
        <v>45726</v>
      </c>
      <c r="D12" s="2" t="s">
        <v>24</v>
      </c>
      <c r="E12" s="2" t="s">
        <v>25</v>
      </c>
      <c r="F12" s="4">
        <v>150000</v>
      </c>
      <c r="G12" s="4">
        <v>0</v>
      </c>
    </row>
    <row r="13" spans="1:7" x14ac:dyDescent="0.3">
      <c r="C13" s="5"/>
      <c r="E13" t="s">
        <v>22</v>
      </c>
      <c r="F13" s="6">
        <v>0</v>
      </c>
      <c r="G13" s="6">
        <v>150000</v>
      </c>
    </row>
    <row r="14" spans="1:7" x14ac:dyDescent="0.3">
      <c r="A14" s="2">
        <v>7</v>
      </c>
      <c r="B14" s="2" t="s">
        <v>26</v>
      </c>
      <c r="C14" s="3">
        <v>45728</v>
      </c>
      <c r="D14" s="2" t="s">
        <v>27</v>
      </c>
      <c r="E14" s="2" t="s">
        <v>28</v>
      </c>
      <c r="F14" s="4">
        <v>18000</v>
      </c>
      <c r="G14" s="4">
        <v>0</v>
      </c>
    </row>
    <row r="15" spans="1:7" x14ac:dyDescent="0.3">
      <c r="C15" s="5"/>
      <c r="E15" t="s">
        <v>9</v>
      </c>
      <c r="F15" s="6">
        <v>0</v>
      </c>
      <c r="G15" s="6">
        <v>18000</v>
      </c>
    </row>
    <row r="16" spans="1:7" x14ac:dyDescent="0.3">
      <c r="A16" s="2">
        <v>8</v>
      </c>
      <c r="B16" s="2" t="s">
        <v>29</v>
      </c>
      <c r="C16" s="3">
        <v>45731</v>
      </c>
      <c r="D16" s="2" t="s">
        <v>30</v>
      </c>
      <c r="E16" s="2" t="s">
        <v>31</v>
      </c>
      <c r="F16" s="4">
        <v>20000</v>
      </c>
      <c r="G16" s="4">
        <v>0</v>
      </c>
    </row>
    <row r="17" spans="1:7" x14ac:dyDescent="0.3">
      <c r="C17" s="5"/>
      <c r="E17" t="s">
        <v>13</v>
      </c>
      <c r="F17" s="6">
        <v>0</v>
      </c>
      <c r="G17" s="6">
        <v>20000</v>
      </c>
    </row>
    <row r="18" spans="1:7" x14ac:dyDescent="0.3">
      <c r="A18" s="2">
        <v>9</v>
      </c>
      <c r="B18" s="2" t="s">
        <v>32</v>
      </c>
      <c r="C18" s="3">
        <v>45734</v>
      </c>
      <c r="D18" s="2" t="s">
        <v>33</v>
      </c>
      <c r="E18" s="2" t="s">
        <v>19</v>
      </c>
      <c r="F18" s="4">
        <v>15000</v>
      </c>
      <c r="G18" s="4">
        <v>0</v>
      </c>
    </row>
    <row r="19" spans="1:7" x14ac:dyDescent="0.3">
      <c r="C19" s="5"/>
      <c r="E19" t="s">
        <v>34</v>
      </c>
      <c r="F19" s="6">
        <v>0</v>
      </c>
      <c r="G19" s="6">
        <v>15000</v>
      </c>
    </row>
    <row r="20" spans="1:7" x14ac:dyDescent="0.3">
      <c r="A20" s="2">
        <v>10</v>
      </c>
      <c r="B20" s="2" t="s">
        <v>35</v>
      </c>
      <c r="C20" s="3">
        <v>45736</v>
      </c>
      <c r="D20" s="2" t="s">
        <v>36</v>
      </c>
      <c r="E20" s="2" t="s">
        <v>37</v>
      </c>
      <c r="F20" s="4">
        <v>10000</v>
      </c>
      <c r="G20" s="4">
        <v>0</v>
      </c>
    </row>
    <row r="21" spans="1:7" x14ac:dyDescent="0.3">
      <c r="C21" s="5"/>
      <c r="E21" t="s">
        <v>25</v>
      </c>
      <c r="F21" s="6">
        <v>0</v>
      </c>
      <c r="G21" s="6">
        <v>10000</v>
      </c>
    </row>
    <row r="22" spans="1:7" x14ac:dyDescent="0.3">
      <c r="A22" s="2">
        <v>11</v>
      </c>
      <c r="B22" s="2" t="s">
        <v>38</v>
      </c>
      <c r="C22" s="3">
        <v>45739</v>
      </c>
      <c r="D22" s="2" t="s">
        <v>39</v>
      </c>
      <c r="E22" s="2" t="s">
        <v>13</v>
      </c>
      <c r="F22" s="4">
        <v>100000</v>
      </c>
      <c r="G22" s="4">
        <v>0</v>
      </c>
    </row>
    <row r="23" spans="1:7" x14ac:dyDescent="0.3">
      <c r="C23" s="5"/>
      <c r="E23" t="s">
        <v>25</v>
      </c>
      <c r="F23" s="6">
        <v>0</v>
      </c>
      <c r="G23" s="6">
        <v>100000</v>
      </c>
    </row>
    <row r="24" spans="1:7" x14ac:dyDescent="0.3">
      <c r="A24" s="2">
        <v>12</v>
      </c>
      <c r="B24" s="2" t="s">
        <v>40</v>
      </c>
      <c r="C24" s="3">
        <v>45742</v>
      </c>
      <c r="D24" s="2" t="s">
        <v>41</v>
      </c>
      <c r="E24" s="2" t="s">
        <v>19</v>
      </c>
      <c r="F24" s="4">
        <v>185000</v>
      </c>
      <c r="G24" s="4">
        <v>0</v>
      </c>
    </row>
    <row r="25" spans="1:7" x14ac:dyDescent="0.3">
      <c r="C25" s="5"/>
      <c r="E25" t="s">
        <v>13</v>
      </c>
      <c r="F25" s="6">
        <v>0</v>
      </c>
      <c r="G25" s="6">
        <v>170000</v>
      </c>
    </row>
    <row r="26" spans="1:7" x14ac:dyDescent="0.3">
      <c r="C26" s="5"/>
      <c r="E26" t="s">
        <v>42</v>
      </c>
      <c r="F26" s="6">
        <v>0</v>
      </c>
      <c r="G26" s="6">
        <v>15000</v>
      </c>
    </row>
    <row r="27" spans="1:7" x14ac:dyDescent="0.3">
      <c r="A27" s="2">
        <v>13</v>
      </c>
      <c r="B27" s="2" t="s">
        <v>43</v>
      </c>
      <c r="C27" s="3">
        <v>45744</v>
      </c>
      <c r="D27" s="2" t="s">
        <v>44</v>
      </c>
      <c r="E27" s="2" t="s">
        <v>45</v>
      </c>
      <c r="F27" s="4">
        <v>25000</v>
      </c>
      <c r="G27" s="4">
        <v>0</v>
      </c>
    </row>
    <row r="28" spans="1:7" x14ac:dyDescent="0.3">
      <c r="C28" s="5"/>
      <c r="E28" t="s">
        <v>9</v>
      </c>
      <c r="F28" s="6">
        <v>0</v>
      </c>
      <c r="G28" s="6">
        <v>25000</v>
      </c>
    </row>
    <row r="29" spans="1:7" x14ac:dyDescent="0.3">
      <c r="A29" s="2">
        <v>14</v>
      </c>
      <c r="B29" s="2" t="s">
        <v>46</v>
      </c>
      <c r="C29" s="3">
        <v>45747</v>
      </c>
      <c r="D29" s="2" t="s">
        <v>47</v>
      </c>
      <c r="E29" s="2" t="s">
        <v>48</v>
      </c>
      <c r="F29" s="4">
        <v>210000</v>
      </c>
      <c r="G29" s="4">
        <v>0</v>
      </c>
    </row>
    <row r="30" spans="1:7" x14ac:dyDescent="0.3">
      <c r="C30" s="5"/>
      <c r="E30" t="s">
        <v>16</v>
      </c>
      <c r="F30" s="6">
        <v>0</v>
      </c>
      <c r="G30" s="6">
        <v>210000</v>
      </c>
    </row>
    <row r="31" spans="1:7" x14ac:dyDescent="0.3">
      <c r="A31" s="2">
        <v>15</v>
      </c>
      <c r="B31" s="2" t="s">
        <v>49</v>
      </c>
      <c r="C31" s="3">
        <v>45748</v>
      </c>
      <c r="D31" s="2" t="s">
        <v>50</v>
      </c>
      <c r="E31" s="2" t="s">
        <v>16</v>
      </c>
      <c r="F31" s="4">
        <v>210000</v>
      </c>
      <c r="G31" s="4">
        <v>0</v>
      </c>
    </row>
    <row r="32" spans="1:7" x14ac:dyDescent="0.3">
      <c r="C32" s="5"/>
      <c r="E32" t="s">
        <v>48</v>
      </c>
      <c r="F32" s="6">
        <v>0</v>
      </c>
      <c r="G32" s="6">
        <v>210000</v>
      </c>
    </row>
    <row r="33" spans="1:7" x14ac:dyDescent="0.3">
      <c r="A33" s="2">
        <v>16</v>
      </c>
      <c r="B33" s="2" t="s">
        <v>51</v>
      </c>
      <c r="C33" s="3">
        <v>45750</v>
      </c>
      <c r="D33" s="2" t="s">
        <v>52</v>
      </c>
      <c r="E33" s="2" t="s">
        <v>16</v>
      </c>
      <c r="F33" s="4">
        <v>240000</v>
      </c>
      <c r="G33" s="4">
        <v>0</v>
      </c>
    </row>
    <row r="34" spans="1:7" x14ac:dyDescent="0.3">
      <c r="C34" s="5"/>
      <c r="E34" t="s">
        <v>53</v>
      </c>
      <c r="F34" s="6">
        <v>0</v>
      </c>
      <c r="G34" s="6">
        <v>240000</v>
      </c>
    </row>
    <row r="35" spans="1:7" x14ac:dyDescent="0.3">
      <c r="A35" s="2">
        <v>17</v>
      </c>
      <c r="B35" s="2" t="s">
        <v>54</v>
      </c>
      <c r="C35" s="3">
        <v>45753</v>
      </c>
      <c r="D35" s="2" t="s">
        <v>55</v>
      </c>
      <c r="E35" s="2" t="s">
        <v>9</v>
      </c>
      <c r="F35" s="4">
        <v>180000</v>
      </c>
      <c r="G35" s="4">
        <v>0</v>
      </c>
    </row>
    <row r="36" spans="1:7" x14ac:dyDescent="0.3">
      <c r="C36" s="5"/>
      <c r="E36" t="s">
        <v>22</v>
      </c>
      <c r="F36" s="6">
        <v>0</v>
      </c>
      <c r="G36" s="6">
        <v>180000</v>
      </c>
    </row>
    <row r="37" spans="1:7" x14ac:dyDescent="0.3">
      <c r="A37" s="2">
        <v>18</v>
      </c>
      <c r="B37" s="2" t="s">
        <v>56</v>
      </c>
      <c r="C37" s="3">
        <v>45757</v>
      </c>
      <c r="D37" s="2" t="s">
        <v>57</v>
      </c>
      <c r="E37" s="2" t="s">
        <v>58</v>
      </c>
      <c r="F37" s="4">
        <v>170000</v>
      </c>
      <c r="G37" s="4">
        <v>0</v>
      </c>
    </row>
    <row r="38" spans="1:7" x14ac:dyDescent="0.3">
      <c r="C38" s="5"/>
      <c r="E38" t="s">
        <v>22</v>
      </c>
      <c r="F38" s="6">
        <v>0</v>
      </c>
      <c r="G38" s="6">
        <v>170000</v>
      </c>
    </row>
    <row r="39" spans="1:7" x14ac:dyDescent="0.3">
      <c r="A39" s="2">
        <v>19</v>
      </c>
      <c r="B39" s="2" t="s">
        <v>59</v>
      </c>
      <c r="C39" s="3">
        <v>45765</v>
      </c>
      <c r="D39" s="2" t="s">
        <v>60</v>
      </c>
      <c r="E39" s="2" t="s">
        <v>9</v>
      </c>
      <c r="F39" s="4">
        <v>168000</v>
      </c>
      <c r="G39" s="4">
        <v>0</v>
      </c>
    </row>
    <row r="40" spans="1:7" x14ac:dyDescent="0.3">
      <c r="C40" s="5"/>
      <c r="E40" t="s">
        <v>61</v>
      </c>
      <c r="F40" s="6">
        <v>2000</v>
      </c>
      <c r="G40" s="6">
        <v>0</v>
      </c>
    </row>
    <row r="41" spans="1:7" x14ac:dyDescent="0.3">
      <c r="C41" s="5"/>
      <c r="E41" t="s">
        <v>58</v>
      </c>
      <c r="F41" s="6">
        <v>0</v>
      </c>
      <c r="G41" s="6">
        <v>170000</v>
      </c>
    </row>
    <row r="42" spans="1:7" x14ac:dyDescent="0.3">
      <c r="A42" s="2">
        <v>20</v>
      </c>
      <c r="B42" s="2" t="s">
        <v>62</v>
      </c>
      <c r="C42" s="3">
        <v>45772</v>
      </c>
      <c r="D42" s="2" t="s">
        <v>63</v>
      </c>
      <c r="E42" s="2" t="s">
        <v>64</v>
      </c>
      <c r="F42" s="4">
        <v>8000</v>
      </c>
      <c r="G42" s="4">
        <v>0</v>
      </c>
    </row>
    <row r="43" spans="1:7" x14ac:dyDescent="0.3">
      <c r="C43" s="5"/>
      <c r="E43" t="s">
        <v>13</v>
      </c>
      <c r="F43" s="6">
        <v>0</v>
      </c>
      <c r="G43" s="6">
        <v>8000</v>
      </c>
    </row>
    <row r="44" spans="1:7" x14ac:dyDescent="0.3">
      <c r="A44" s="2">
        <v>21</v>
      </c>
      <c r="B44" s="2" t="s">
        <v>65</v>
      </c>
      <c r="C44" s="3">
        <v>45787</v>
      </c>
      <c r="D44" s="2" t="s">
        <v>66</v>
      </c>
      <c r="E44" s="2" t="s">
        <v>16</v>
      </c>
      <c r="F44" s="4">
        <v>90000</v>
      </c>
      <c r="G44" s="4">
        <v>0</v>
      </c>
    </row>
    <row r="45" spans="1:7" x14ac:dyDescent="0.3">
      <c r="C45" s="5"/>
      <c r="E45" t="s">
        <v>9</v>
      </c>
      <c r="F45" s="6">
        <v>0</v>
      </c>
      <c r="G45" s="6">
        <v>90000</v>
      </c>
    </row>
    <row r="46" spans="1:7" x14ac:dyDescent="0.3">
      <c r="A46" s="2">
        <v>22</v>
      </c>
      <c r="B46" s="2" t="s">
        <v>67</v>
      </c>
      <c r="C46" s="3">
        <v>45830</v>
      </c>
      <c r="D46" s="2" t="s">
        <v>68</v>
      </c>
      <c r="E46" s="2" t="s">
        <v>13</v>
      </c>
      <c r="F46" s="4">
        <v>12000</v>
      </c>
      <c r="G46" s="4">
        <v>0</v>
      </c>
    </row>
    <row r="47" spans="1:7" x14ac:dyDescent="0.3">
      <c r="C47" s="5"/>
      <c r="E47" t="s">
        <v>69</v>
      </c>
      <c r="F47" s="6">
        <v>0</v>
      </c>
      <c r="G47" s="6">
        <v>12000</v>
      </c>
    </row>
    <row r="48" spans="1:7" x14ac:dyDescent="0.3">
      <c r="A48" s="2">
        <v>23</v>
      </c>
      <c r="B48" s="2" t="s">
        <v>70</v>
      </c>
      <c r="C48" s="3">
        <v>45881</v>
      </c>
      <c r="D48" s="2" t="s">
        <v>71</v>
      </c>
      <c r="E48" s="2" t="s">
        <v>72</v>
      </c>
      <c r="F48" s="4">
        <v>15000</v>
      </c>
      <c r="G48" s="4">
        <v>0</v>
      </c>
    </row>
    <row r="49" spans="1:7" x14ac:dyDescent="0.3">
      <c r="C49" s="5"/>
      <c r="E49" t="s">
        <v>13</v>
      </c>
      <c r="F49" s="6">
        <v>0</v>
      </c>
      <c r="G49" s="6">
        <v>15000</v>
      </c>
    </row>
    <row r="50" spans="1:7" x14ac:dyDescent="0.3">
      <c r="A50" s="2">
        <v>24</v>
      </c>
      <c r="B50" s="2" t="s">
        <v>73</v>
      </c>
      <c r="C50" s="3">
        <v>45925</v>
      </c>
      <c r="D50" s="2" t="s">
        <v>74</v>
      </c>
      <c r="E50" s="2" t="s">
        <v>16</v>
      </c>
      <c r="F50" s="4">
        <v>180000</v>
      </c>
      <c r="G50" s="4">
        <v>0</v>
      </c>
    </row>
    <row r="51" spans="1:7" x14ac:dyDescent="0.3">
      <c r="C51" s="5"/>
      <c r="E51" t="s">
        <v>75</v>
      </c>
      <c r="F51" s="6">
        <v>0</v>
      </c>
      <c r="G51" s="6">
        <v>180000</v>
      </c>
    </row>
    <row r="52" spans="1:7" x14ac:dyDescent="0.3">
      <c r="A52" s="2">
        <v>25</v>
      </c>
      <c r="B52" s="2" t="s">
        <v>76</v>
      </c>
      <c r="C52" s="3">
        <v>45945</v>
      </c>
      <c r="D52" s="2" t="s">
        <v>77</v>
      </c>
      <c r="E52" s="2" t="s">
        <v>75</v>
      </c>
      <c r="F52" s="4">
        <v>20000</v>
      </c>
      <c r="G52" s="4">
        <v>0</v>
      </c>
    </row>
    <row r="53" spans="1:7" x14ac:dyDescent="0.3">
      <c r="C53" s="5"/>
      <c r="E53" t="s">
        <v>34</v>
      </c>
      <c r="F53" s="6">
        <v>0</v>
      </c>
      <c r="G53" s="6">
        <v>20000</v>
      </c>
    </row>
    <row r="54" spans="1:7" x14ac:dyDescent="0.3">
      <c r="A54" s="2">
        <v>26</v>
      </c>
      <c r="B54" s="2" t="s">
        <v>78</v>
      </c>
      <c r="C54" s="3">
        <v>45981</v>
      </c>
      <c r="D54" s="2" t="s">
        <v>79</v>
      </c>
      <c r="E54" s="2" t="s">
        <v>9</v>
      </c>
      <c r="F54" s="4">
        <v>220000</v>
      </c>
      <c r="G54" s="4">
        <v>0</v>
      </c>
    </row>
    <row r="55" spans="1:7" x14ac:dyDescent="0.3">
      <c r="C55" s="5"/>
      <c r="E55" t="s">
        <v>22</v>
      </c>
      <c r="F55" s="6">
        <v>0</v>
      </c>
      <c r="G55" s="6">
        <v>220000</v>
      </c>
    </row>
    <row r="56" spans="1:7" x14ac:dyDescent="0.3">
      <c r="A56" s="2">
        <v>27</v>
      </c>
      <c r="B56" s="2" t="s">
        <v>80</v>
      </c>
      <c r="C56" s="3">
        <v>46006</v>
      </c>
      <c r="D56" s="2" t="s">
        <v>81</v>
      </c>
      <c r="E56" s="2" t="s">
        <v>82</v>
      </c>
      <c r="F56" s="4">
        <v>210000</v>
      </c>
      <c r="G56" s="4">
        <v>0</v>
      </c>
    </row>
    <row r="57" spans="1:7" x14ac:dyDescent="0.3">
      <c r="C57" s="5"/>
      <c r="E57" t="s">
        <v>22</v>
      </c>
      <c r="F57" s="6">
        <v>0</v>
      </c>
      <c r="G57" s="6">
        <v>210000</v>
      </c>
    </row>
    <row r="58" spans="1:7" x14ac:dyDescent="0.3">
      <c r="A58" s="2">
        <v>28</v>
      </c>
      <c r="B58" s="2" t="s">
        <v>83</v>
      </c>
      <c r="C58" s="3">
        <v>46019</v>
      </c>
      <c r="D58" s="2" t="s">
        <v>84</v>
      </c>
      <c r="E58" s="2" t="s">
        <v>13</v>
      </c>
      <c r="F58" s="4">
        <v>210000</v>
      </c>
      <c r="G58" s="4">
        <v>0</v>
      </c>
    </row>
    <row r="59" spans="1:7" x14ac:dyDescent="0.3">
      <c r="C59" s="5"/>
      <c r="E59" t="s">
        <v>82</v>
      </c>
      <c r="F59" s="6">
        <v>0</v>
      </c>
      <c r="G59" s="6">
        <v>210000</v>
      </c>
    </row>
    <row r="60" spans="1:7" x14ac:dyDescent="0.3">
      <c r="A60" s="2">
        <v>29</v>
      </c>
      <c r="B60" s="2" t="s">
        <v>85</v>
      </c>
      <c r="C60" s="3">
        <v>46027</v>
      </c>
      <c r="D60" s="2" t="s">
        <v>86</v>
      </c>
      <c r="E60" s="2" t="s">
        <v>82</v>
      </c>
      <c r="F60" s="4">
        <v>210000</v>
      </c>
      <c r="G60" s="4">
        <v>0</v>
      </c>
    </row>
    <row r="61" spans="1:7" x14ac:dyDescent="0.3">
      <c r="C61" s="5"/>
      <c r="E61" t="s">
        <v>13</v>
      </c>
      <c r="F61" s="6">
        <v>0</v>
      </c>
      <c r="G61" s="6">
        <v>210000</v>
      </c>
    </row>
    <row r="62" spans="1:7" x14ac:dyDescent="0.3">
      <c r="A62" s="2">
        <v>30</v>
      </c>
      <c r="B62" s="2" t="s">
        <v>87</v>
      </c>
      <c r="C62" s="3">
        <v>46034</v>
      </c>
      <c r="D62" s="2" t="s">
        <v>88</v>
      </c>
      <c r="E62" s="2" t="s">
        <v>9</v>
      </c>
      <c r="F62" s="4">
        <v>205000</v>
      </c>
      <c r="G62" s="4">
        <v>0</v>
      </c>
    </row>
    <row r="63" spans="1:7" x14ac:dyDescent="0.3">
      <c r="C63" s="5"/>
      <c r="E63" t="s">
        <v>61</v>
      </c>
      <c r="F63" s="6">
        <v>5000</v>
      </c>
      <c r="G63" s="6">
        <v>0</v>
      </c>
    </row>
    <row r="64" spans="1:7" x14ac:dyDescent="0.3">
      <c r="C64" s="5"/>
      <c r="E64" t="s">
        <v>82</v>
      </c>
      <c r="F64" s="6">
        <v>0</v>
      </c>
      <c r="G64" s="6">
        <v>210000</v>
      </c>
    </row>
    <row r="65" spans="1:7" x14ac:dyDescent="0.3">
      <c r="A65" s="2">
        <v>31</v>
      </c>
      <c r="B65" s="2" t="s">
        <v>89</v>
      </c>
      <c r="C65" s="3">
        <v>46047</v>
      </c>
      <c r="D65" s="2" t="s">
        <v>90</v>
      </c>
      <c r="E65" s="2" t="s">
        <v>91</v>
      </c>
      <c r="F65" s="4">
        <v>45000</v>
      </c>
      <c r="G65" s="4">
        <v>0</v>
      </c>
    </row>
    <row r="66" spans="1:7" x14ac:dyDescent="0.3">
      <c r="C66" s="5"/>
      <c r="E66" t="s">
        <v>9</v>
      </c>
      <c r="F66" s="6">
        <v>0</v>
      </c>
      <c r="G66" s="6">
        <v>45000</v>
      </c>
    </row>
    <row r="67" spans="1:7" x14ac:dyDescent="0.3">
      <c r="A67" s="2">
        <v>32</v>
      </c>
      <c r="B67" s="2" t="s">
        <v>92</v>
      </c>
      <c r="C67" s="3">
        <v>46063</v>
      </c>
      <c r="D67" s="2" t="s">
        <v>93</v>
      </c>
      <c r="E67" s="2" t="s">
        <v>94</v>
      </c>
      <c r="F67" s="4">
        <v>18000</v>
      </c>
      <c r="G67" s="4">
        <v>0</v>
      </c>
    </row>
    <row r="68" spans="1:7" x14ac:dyDescent="0.3">
      <c r="C68" s="5"/>
      <c r="E68" t="s">
        <v>9</v>
      </c>
      <c r="F68" s="6">
        <v>0</v>
      </c>
      <c r="G68" s="6">
        <v>18000</v>
      </c>
    </row>
    <row r="69" spans="1:7" x14ac:dyDescent="0.3">
      <c r="A69" s="2">
        <v>33</v>
      </c>
      <c r="B69" s="2" t="s">
        <v>95</v>
      </c>
      <c r="C69" s="3">
        <v>46086</v>
      </c>
      <c r="D69" s="2" t="s">
        <v>96</v>
      </c>
      <c r="E69" s="2" t="s">
        <v>45</v>
      </c>
      <c r="F69" s="4">
        <v>12000</v>
      </c>
      <c r="G69" s="4">
        <v>0</v>
      </c>
    </row>
    <row r="70" spans="1:7" x14ac:dyDescent="0.3">
      <c r="C70" s="5"/>
      <c r="E70" t="s">
        <v>16</v>
      </c>
      <c r="F70" s="6">
        <v>0</v>
      </c>
      <c r="G70" s="6">
        <v>12000</v>
      </c>
    </row>
    <row r="71" spans="1:7" x14ac:dyDescent="0.3">
      <c r="A71" s="2">
        <v>34</v>
      </c>
      <c r="B71" s="2" t="s">
        <v>97</v>
      </c>
      <c r="C71" s="3">
        <v>46096</v>
      </c>
      <c r="D71" s="2" t="s">
        <v>98</v>
      </c>
      <c r="E71" s="2" t="s">
        <v>13</v>
      </c>
      <c r="F71" s="4">
        <v>6500</v>
      </c>
      <c r="G71" s="4">
        <v>0</v>
      </c>
    </row>
    <row r="72" spans="1:7" x14ac:dyDescent="0.3">
      <c r="C72" s="5"/>
      <c r="E72" t="s">
        <v>99</v>
      </c>
      <c r="F72" s="6">
        <v>0</v>
      </c>
      <c r="G72" s="6">
        <v>6500</v>
      </c>
    </row>
    <row r="73" spans="1:7" x14ac:dyDescent="0.3">
      <c r="A73" s="2">
        <v>35</v>
      </c>
      <c r="B73" s="2" t="s">
        <v>100</v>
      </c>
      <c r="C73" s="3">
        <v>46106</v>
      </c>
      <c r="D73" s="2" t="s">
        <v>101</v>
      </c>
      <c r="E73" s="2" t="s">
        <v>75</v>
      </c>
      <c r="F73" s="4">
        <v>160000</v>
      </c>
      <c r="G73" s="4">
        <v>0</v>
      </c>
    </row>
    <row r="74" spans="1:7" x14ac:dyDescent="0.3">
      <c r="C74" s="5"/>
      <c r="E74" t="s">
        <v>13</v>
      </c>
      <c r="F74" s="6">
        <v>0</v>
      </c>
      <c r="G74" s="6">
        <v>158000</v>
      </c>
    </row>
    <row r="75" spans="1:7" x14ac:dyDescent="0.3">
      <c r="C75" s="5"/>
      <c r="E75" t="s">
        <v>42</v>
      </c>
      <c r="F75" s="6">
        <v>0</v>
      </c>
      <c r="G75" s="6">
        <v>2000</v>
      </c>
    </row>
    <row r="76" spans="1:7" x14ac:dyDescent="0.3">
      <c r="A76" s="2">
        <v>36</v>
      </c>
      <c r="B76" s="2" t="s">
        <v>102</v>
      </c>
      <c r="C76" s="3">
        <v>46112</v>
      </c>
      <c r="D76" s="2" t="s">
        <v>103</v>
      </c>
      <c r="E76" s="2" t="s">
        <v>48</v>
      </c>
      <c r="F76" s="4">
        <v>320000</v>
      </c>
      <c r="G76" s="4">
        <v>0</v>
      </c>
    </row>
    <row r="77" spans="1:7" x14ac:dyDescent="0.3">
      <c r="C77" s="5"/>
      <c r="E77" t="s">
        <v>16</v>
      </c>
      <c r="F77" s="6">
        <v>0</v>
      </c>
      <c r="G77" s="6">
        <v>320000</v>
      </c>
    </row>
    <row r="78" spans="1:7" x14ac:dyDescent="0.3">
      <c r="A78" s="2">
        <v>37</v>
      </c>
      <c r="B78" s="2" t="s">
        <v>104</v>
      </c>
      <c r="C78" s="3">
        <v>46113</v>
      </c>
      <c r="D78" s="2" t="s">
        <v>105</v>
      </c>
      <c r="E78" s="2" t="s">
        <v>16</v>
      </c>
      <c r="F78" s="4">
        <v>320000</v>
      </c>
      <c r="G78" s="4">
        <v>0</v>
      </c>
    </row>
    <row r="79" spans="1:7" x14ac:dyDescent="0.3">
      <c r="C79" s="5"/>
      <c r="E79" t="s">
        <v>48</v>
      </c>
      <c r="F79" s="6">
        <v>0</v>
      </c>
      <c r="G79" s="6">
        <v>320000</v>
      </c>
    </row>
    <row r="80" spans="1:7" x14ac:dyDescent="0.3">
      <c r="A80" s="2">
        <v>38</v>
      </c>
      <c r="B80" s="2" t="s">
        <v>106</v>
      </c>
      <c r="C80" s="3">
        <v>46117</v>
      </c>
      <c r="D80" s="2" t="s">
        <v>107</v>
      </c>
      <c r="E80" s="2" t="s">
        <v>16</v>
      </c>
      <c r="F80" s="4">
        <v>150000</v>
      </c>
      <c r="G80" s="4">
        <v>0</v>
      </c>
    </row>
    <row r="81" spans="1:7" x14ac:dyDescent="0.3">
      <c r="C81" s="5"/>
      <c r="E81" t="s">
        <v>9</v>
      </c>
      <c r="F81" s="6">
        <v>0</v>
      </c>
      <c r="G81" s="6">
        <v>150000</v>
      </c>
    </row>
    <row r="82" spans="1:7" x14ac:dyDescent="0.3">
      <c r="A82" s="2">
        <v>39</v>
      </c>
      <c r="B82" s="2" t="s">
        <v>108</v>
      </c>
      <c r="C82" s="3">
        <v>46127</v>
      </c>
      <c r="D82" s="2" t="s">
        <v>109</v>
      </c>
      <c r="E82" s="2" t="s">
        <v>9</v>
      </c>
      <c r="F82" s="4">
        <v>210000</v>
      </c>
      <c r="G82" s="4">
        <v>0</v>
      </c>
    </row>
    <row r="83" spans="1:7" x14ac:dyDescent="0.3">
      <c r="C83" s="5"/>
      <c r="E83" t="s">
        <v>22</v>
      </c>
      <c r="F83" s="6">
        <v>0</v>
      </c>
      <c r="G83" s="6">
        <v>210000</v>
      </c>
    </row>
    <row r="84" spans="1:7" x14ac:dyDescent="0.3">
      <c r="A84" s="2">
        <v>40</v>
      </c>
      <c r="B84" s="2" t="s">
        <v>110</v>
      </c>
      <c r="C84" s="3">
        <v>46140</v>
      </c>
      <c r="D84" s="2" t="s">
        <v>111</v>
      </c>
      <c r="E84" s="2" t="s">
        <v>112</v>
      </c>
      <c r="F84" s="4">
        <v>180000</v>
      </c>
      <c r="G84" s="4">
        <v>0</v>
      </c>
    </row>
    <row r="85" spans="1:7" x14ac:dyDescent="0.3">
      <c r="C85" s="5"/>
      <c r="E85" t="s">
        <v>22</v>
      </c>
      <c r="F85" s="6">
        <v>0</v>
      </c>
      <c r="G85" s="6">
        <v>180000</v>
      </c>
    </row>
    <row r="86" spans="1:7" x14ac:dyDescent="0.3">
      <c r="A86" s="2">
        <v>41</v>
      </c>
      <c r="B86" s="2" t="s">
        <v>113</v>
      </c>
      <c r="C86" s="3">
        <v>46152</v>
      </c>
      <c r="D86" s="2" t="s">
        <v>114</v>
      </c>
      <c r="E86" s="2" t="s">
        <v>13</v>
      </c>
      <c r="F86" s="4">
        <v>180000</v>
      </c>
      <c r="G86" s="4">
        <v>0</v>
      </c>
    </row>
    <row r="87" spans="1:7" x14ac:dyDescent="0.3">
      <c r="C87" s="5"/>
      <c r="E87" t="s">
        <v>112</v>
      </c>
      <c r="F87" s="6">
        <v>0</v>
      </c>
      <c r="G87" s="6">
        <v>180000</v>
      </c>
    </row>
    <row r="88" spans="1:7" x14ac:dyDescent="0.3">
      <c r="A88" s="2">
        <v>42</v>
      </c>
      <c r="B88" s="2" t="s">
        <v>115</v>
      </c>
      <c r="C88" s="3">
        <v>46160</v>
      </c>
      <c r="D88" s="2" t="s">
        <v>116</v>
      </c>
      <c r="E88" s="2" t="s">
        <v>28</v>
      </c>
      <c r="F88" s="4">
        <v>12000</v>
      </c>
      <c r="G88" s="4">
        <v>0</v>
      </c>
    </row>
    <row r="89" spans="1:7" x14ac:dyDescent="0.3">
      <c r="C89" s="5"/>
      <c r="E89" t="s">
        <v>9</v>
      </c>
      <c r="F89" s="6">
        <v>0</v>
      </c>
      <c r="G89" s="6">
        <v>12000</v>
      </c>
    </row>
    <row r="90" spans="1:7" x14ac:dyDescent="0.3">
      <c r="A90" s="2">
        <v>43</v>
      </c>
      <c r="B90" s="2" t="s">
        <v>117</v>
      </c>
      <c r="C90" s="3">
        <v>46170</v>
      </c>
      <c r="D90" s="2" t="s">
        <v>118</v>
      </c>
      <c r="E90" s="2" t="s">
        <v>31</v>
      </c>
      <c r="F90" s="4">
        <v>24000</v>
      </c>
      <c r="G90" s="4">
        <v>0</v>
      </c>
    </row>
    <row r="91" spans="1:7" x14ac:dyDescent="0.3">
      <c r="C91" s="5"/>
      <c r="E91" t="s">
        <v>9</v>
      </c>
      <c r="F91" s="6">
        <v>0</v>
      </c>
      <c r="G91" s="6">
        <v>24000</v>
      </c>
    </row>
    <row r="92" spans="1:7" x14ac:dyDescent="0.3">
      <c r="A92" s="2">
        <v>44</v>
      </c>
      <c r="B92" s="2" t="s">
        <v>119</v>
      </c>
      <c r="C92" s="3">
        <v>46178</v>
      </c>
      <c r="D92" s="2" t="s">
        <v>120</v>
      </c>
      <c r="E92" s="2" t="s">
        <v>16</v>
      </c>
      <c r="F92" s="4">
        <v>80000</v>
      </c>
      <c r="G92" s="4">
        <v>0</v>
      </c>
    </row>
    <row r="93" spans="1:7" x14ac:dyDescent="0.3">
      <c r="C93" s="5"/>
      <c r="E93" t="s">
        <v>9</v>
      </c>
      <c r="F93" s="6">
        <v>0</v>
      </c>
      <c r="G93" s="6">
        <v>80000</v>
      </c>
    </row>
    <row r="94" spans="1:7" x14ac:dyDescent="0.3">
      <c r="A94" s="2">
        <v>45</v>
      </c>
      <c r="B94" s="2" t="s">
        <v>121</v>
      </c>
      <c r="C94" s="3">
        <v>46185</v>
      </c>
      <c r="D94" s="2" t="s">
        <v>122</v>
      </c>
      <c r="E94" s="2" t="s">
        <v>37</v>
      </c>
      <c r="F94" s="4">
        <v>8000</v>
      </c>
      <c r="G94" s="4">
        <v>0</v>
      </c>
    </row>
    <row r="95" spans="1:7" x14ac:dyDescent="0.3">
      <c r="C95" s="5"/>
      <c r="E95" t="s">
        <v>9</v>
      </c>
      <c r="F95" s="6">
        <v>0</v>
      </c>
      <c r="G95" s="6">
        <v>8000</v>
      </c>
    </row>
    <row r="96" spans="1:7" x14ac:dyDescent="0.3">
      <c r="A96" s="2">
        <v>46</v>
      </c>
      <c r="B96" s="2" t="s">
        <v>123</v>
      </c>
      <c r="C96" s="3">
        <v>46191</v>
      </c>
      <c r="D96" s="2" t="s">
        <v>124</v>
      </c>
      <c r="E96" s="2" t="s">
        <v>9</v>
      </c>
      <c r="F96" s="4">
        <v>10000</v>
      </c>
      <c r="G96" s="4">
        <v>0</v>
      </c>
    </row>
    <row r="97" spans="1:7" x14ac:dyDescent="0.3">
      <c r="C97" s="5"/>
      <c r="E97" t="s">
        <v>34</v>
      </c>
      <c r="F97" s="6">
        <v>0</v>
      </c>
      <c r="G97" s="6">
        <v>10000</v>
      </c>
    </row>
    <row r="98" spans="1:7" x14ac:dyDescent="0.3">
      <c r="A98" s="2">
        <v>47</v>
      </c>
      <c r="B98" s="2" t="s">
        <v>125</v>
      </c>
      <c r="C98" s="3">
        <v>46195</v>
      </c>
      <c r="D98" s="2" t="s">
        <v>126</v>
      </c>
      <c r="E98" s="2" t="s">
        <v>9</v>
      </c>
      <c r="F98" s="4">
        <v>5000</v>
      </c>
      <c r="G98" s="4">
        <v>0</v>
      </c>
    </row>
    <row r="99" spans="1:7" x14ac:dyDescent="0.3">
      <c r="C99" s="5"/>
      <c r="E99" t="s">
        <v>69</v>
      </c>
      <c r="F99" s="6">
        <v>0</v>
      </c>
      <c r="G99" s="6">
        <v>5000</v>
      </c>
    </row>
    <row r="100" spans="1:7" x14ac:dyDescent="0.3">
      <c r="A100" s="2">
        <v>48</v>
      </c>
      <c r="B100" s="2" t="s">
        <v>127</v>
      </c>
      <c r="C100" s="3">
        <v>46198</v>
      </c>
      <c r="D100" s="2" t="s">
        <v>128</v>
      </c>
      <c r="E100" s="2" t="s">
        <v>45</v>
      </c>
      <c r="F100" s="4">
        <v>15000</v>
      </c>
      <c r="G100" s="4">
        <v>0</v>
      </c>
    </row>
    <row r="101" spans="1:7" x14ac:dyDescent="0.3">
      <c r="C101" s="5"/>
      <c r="E101" t="s">
        <v>9</v>
      </c>
      <c r="F101" s="6">
        <v>0</v>
      </c>
      <c r="G101" s="6">
        <v>15000</v>
      </c>
    </row>
    <row r="102" spans="1:7" x14ac:dyDescent="0.3">
      <c r="A102" s="2">
        <v>49</v>
      </c>
      <c r="B102" s="2" t="s">
        <v>129</v>
      </c>
      <c r="C102" s="3">
        <v>46201</v>
      </c>
      <c r="D102" s="2" t="s">
        <v>130</v>
      </c>
      <c r="E102" s="2" t="s">
        <v>131</v>
      </c>
      <c r="F102" s="4">
        <v>1200</v>
      </c>
      <c r="G102" s="4">
        <v>0</v>
      </c>
    </row>
    <row r="103" spans="1:7" x14ac:dyDescent="0.3">
      <c r="C103" s="5"/>
      <c r="E103" t="s">
        <v>13</v>
      </c>
      <c r="F103" s="6">
        <v>0</v>
      </c>
      <c r="G103" s="6">
        <v>1200</v>
      </c>
    </row>
    <row r="104" spans="1:7" x14ac:dyDescent="0.3">
      <c r="A104" s="2">
        <v>50</v>
      </c>
      <c r="B104" s="2" t="s">
        <v>132</v>
      </c>
      <c r="C104" s="3">
        <v>46203</v>
      </c>
      <c r="D104" s="2" t="s">
        <v>133</v>
      </c>
      <c r="E104" s="2" t="s">
        <v>48</v>
      </c>
      <c r="F104" s="4">
        <v>360000</v>
      </c>
      <c r="G104" s="4">
        <v>0</v>
      </c>
    </row>
    <row r="105" spans="1:7" x14ac:dyDescent="0.3">
      <c r="C105" s="5"/>
      <c r="E105" t="s">
        <v>16</v>
      </c>
      <c r="F105" s="6">
        <v>0</v>
      </c>
      <c r="G105" s="6">
        <v>360000</v>
      </c>
    </row>
  </sheetData>
  <autoFilter ref="A1:G105" xr:uid="{00000000-0009-0000-0000-000000000000}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ABC9-019D-436E-94A0-BDA286AA43AA}">
  <dimension ref="A1:F71"/>
  <sheetViews>
    <sheetView workbookViewId="0">
      <selection activeCell="K11" sqref="K11"/>
    </sheetView>
  </sheetViews>
  <sheetFormatPr defaultRowHeight="14.4" x14ac:dyDescent="0.3"/>
  <cols>
    <col min="1" max="1" width="8.88671875" style="9"/>
    <col min="2" max="2" width="12" customWidth="1"/>
    <col min="3" max="3" width="12.77734375" style="7" bestFit="1" customWidth="1"/>
    <col min="5" max="5" width="12.6640625" customWidth="1"/>
    <col min="6" max="6" width="13.5546875" style="7" bestFit="1" customWidth="1"/>
  </cols>
  <sheetData>
    <row r="1" spans="1:6" x14ac:dyDescent="0.3">
      <c r="B1" s="9" t="s">
        <v>159</v>
      </c>
      <c r="D1" s="10" t="str">
        <f>IF(SUM(C3:C502)=SUM(F3:F502),"=","?")</f>
        <v>=</v>
      </c>
      <c r="F1" s="12" t="s">
        <v>160</v>
      </c>
    </row>
    <row r="2" spans="1:6" x14ac:dyDescent="0.3">
      <c r="D2" s="8"/>
    </row>
    <row r="3" spans="1:6" x14ac:dyDescent="0.3">
      <c r="A3" s="9" t="s">
        <v>9</v>
      </c>
      <c r="C3" s="11">
        <f>SUM(C4:C5)-SUM(F4:F7)</f>
        <v>297000</v>
      </c>
    </row>
    <row r="4" spans="1:6" x14ac:dyDescent="0.3">
      <c r="B4" t="s">
        <v>136</v>
      </c>
      <c r="C4" s="7">
        <v>800000</v>
      </c>
      <c r="E4" t="s">
        <v>138</v>
      </c>
      <c r="F4" s="7">
        <v>500000</v>
      </c>
    </row>
    <row r="5" spans="1:6" x14ac:dyDescent="0.3">
      <c r="B5" t="s">
        <v>143</v>
      </c>
      <c r="C5" s="7">
        <v>160000</v>
      </c>
      <c r="E5" t="s">
        <v>140</v>
      </c>
      <c r="F5" s="7">
        <v>120000</v>
      </c>
    </row>
    <row r="6" spans="1:6" x14ac:dyDescent="0.3">
      <c r="E6" t="s">
        <v>145</v>
      </c>
      <c r="F6" s="7">
        <v>18000</v>
      </c>
    </row>
    <row r="7" spans="1:6" x14ac:dyDescent="0.3">
      <c r="E7" t="s">
        <v>158</v>
      </c>
      <c r="F7" s="7">
        <v>25000</v>
      </c>
    </row>
    <row r="10" spans="1:6" x14ac:dyDescent="0.3">
      <c r="A10" s="9" t="s">
        <v>10</v>
      </c>
      <c r="F10" s="11">
        <f>F11</f>
        <v>800000</v>
      </c>
    </row>
    <row r="11" spans="1:6" x14ac:dyDescent="0.3">
      <c r="E11" t="s">
        <v>135</v>
      </c>
      <c r="F11" s="7">
        <v>800000</v>
      </c>
    </row>
    <row r="16" spans="1:6" x14ac:dyDescent="0.3">
      <c r="A16" s="9" t="s">
        <v>137</v>
      </c>
      <c r="C16" s="11">
        <f>SUM(C17:C18)-SUM(F17:F18)</f>
        <v>410000</v>
      </c>
    </row>
    <row r="17" spans="1:6" x14ac:dyDescent="0.3">
      <c r="B17" t="s">
        <v>134</v>
      </c>
      <c r="C17" s="7">
        <v>500000</v>
      </c>
      <c r="E17" t="s">
        <v>148</v>
      </c>
      <c r="F17" s="7">
        <v>20000</v>
      </c>
    </row>
    <row r="18" spans="1:6" x14ac:dyDescent="0.3">
      <c r="B18" t="s">
        <v>153</v>
      </c>
      <c r="C18" s="7">
        <v>100000</v>
      </c>
      <c r="E18" t="s">
        <v>151</v>
      </c>
      <c r="F18" s="7">
        <v>170000</v>
      </c>
    </row>
    <row r="22" spans="1:6" x14ac:dyDescent="0.3">
      <c r="A22" s="9" t="s">
        <v>139</v>
      </c>
      <c r="C22" s="11">
        <f>SUM(C23:C24)</f>
        <v>320000</v>
      </c>
    </row>
    <row r="23" spans="1:6" x14ac:dyDescent="0.3">
      <c r="B23" t="s">
        <v>134</v>
      </c>
      <c r="C23" s="7">
        <v>120000</v>
      </c>
    </row>
    <row r="24" spans="1:6" x14ac:dyDescent="0.3">
      <c r="B24" t="s">
        <v>142</v>
      </c>
      <c r="C24" s="7">
        <v>200000</v>
      </c>
    </row>
    <row r="27" spans="1:6" x14ac:dyDescent="0.3">
      <c r="C27" s="11">
        <f>SUM(C28:C30)-F28</f>
        <v>0</v>
      </c>
    </row>
    <row r="28" spans="1:6" x14ac:dyDescent="0.3">
      <c r="A28" s="9" t="s">
        <v>141</v>
      </c>
      <c r="B28" t="s">
        <v>150</v>
      </c>
      <c r="C28" s="7">
        <v>15000</v>
      </c>
      <c r="E28" t="s">
        <v>140</v>
      </c>
      <c r="F28" s="7">
        <v>200000</v>
      </c>
    </row>
    <row r="29" spans="1:6" x14ac:dyDescent="0.3">
      <c r="B29" t="s">
        <v>147</v>
      </c>
      <c r="C29" s="7">
        <v>170000</v>
      </c>
    </row>
    <row r="30" spans="1:6" x14ac:dyDescent="0.3">
      <c r="B30" t="s">
        <v>156</v>
      </c>
      <c r="C30" s="7">
        <v>15000</v>
      </c>
    </row>
    <row r="34" spans="1:6" x14ac:dyDescent="0.3">
      <c r="A34" s="9" t="s">
        <v>22</v>
      </c>
      <c r="F34" s="11">
        <f>F35+F36</f>
        <v>310000</v>
      </c>
    </row>
    <row r="35" spans="1:6" x14ac:dyDescent="0.3">
      <c r="E35" t="s">
        <v>135</v>
      </c>
      <c r="F35" s="7">
        <v>160000</v>
      </c>
    </row>
    <row r="36" spans="1:6" x14ac:dyDescent="0.3">
      <c r="E36" t="s">
        <v>144</v>
      </c>
      <c r="F36" s="7">
        <v>150000</v>
      </c>
    </row>
    <row r="40" spans="1:6" x14ac:dyDescent="0.3">
      <c r="A40" s="9" t="s">
        <v>25</v>
      </c>
      <c r="C40" s="11">
        <f>C41-SUM(F41:F42)</f>
        <v>40000</v>
      </c>
    </row>
    <row r="41" spans="1:6" x14ac:dyDescent="0.3">
      <c r="B41" t="s">
        <v>143</v>
      </c>
      <c r="C41" s="7">
        <v>150000</v>
      </c>
      <c r="E41" t="s">
        <v>154</v>
      </c>
      <c r="F41" s="7">
        <v>10000</v>
      </c>
    </row>
    <row r="42" spans="1:6" x14ac:dyDescent="0.3">
      <c r="E42" t="s">
        <v>138</v>
      </c>
      <c r="F42" s="7">
        <v>100000</v>
      </c>
    </row>
    <row r="46" spans="1:6" x14ac:dyDescent="0.3">
      <c r="A46" s="9" t="s">
        <v>28</v>
      </c>
      <c r="C46" s="11">
        <f>C47</f>
        <v>18000</v>
      </c>
    </row>
    <row r="47" spans="1:6" x14ac:dyDescent="0.3">
      <c r="B47" t="s">
        <v>134</v>
      </c>
      <c r="C47" s="7">
        <v>18000</v>
      </c>
    </row>
    <row r="51" spans="1:6" x14ac:dyDescent="0.3">
      <c r="A51" s="9" t="s">
        <v>146</v>
      </c>
      <c r="C51" s="11">
        <f>C52</f>
        <v>20000</v>
      </c>
    </row>
    <row r="52" spans="1:6" x14ac:dyDescent="0.3">
      <c r="B52" t="s">
        <v>147</v>
      </c>
      <c r="C52" s="7">
        <v>20000</v>
      </c>
    </row>
    <row r="56" spans="1:6" x14ac:dyDescent="0.3">
      <c r="A56" s="9" t="s">
        <v>149</v>
      </c>
      <c r="F56" s="11">
        <f>F57</f>
        <v>15000</v>
      </c>
    </row>
    <row r="57" spans="1:6" x14ac:dyDescent="0.3">
      <c r="E57" t="s">
        <v>151</v>
      </c>
      <c r="F57" s="7">
        <v>15000</v>
      </c>
    </row>
    <row r="60" spans="1:6" x14ac:dyDescent="0.3">
      <c r="A60" s="9" t="s">
        <v>152</v>
      </c>
      <c r="C60" s="11">
        <f>C61</f>
        <v>10000</v>
      </c>
    </row>
    <row r="61" spans="1:6" x14ac:dyDescent="0.3">
      <c r="B61" t="s">
        <v>153</v>
      </c>
      <c r="C61" s="7">
        <v>10000</v>
      </c>
    </row>
    <row r="65" spans="1:6" x14ac:dyDescent="0.3">
      <c r="A65" s="9" t="s">
        <v>155</v>
      </c>
      <c r="F65" s="11">
        <f>F66</f>
        <v>15000</v>
      </c>
    </row>
    <row r="66" spans="1:6" x14ac:dyDescent="0.3">
      <c r="E66" t="s">
        <v>151</v>
      </c>
      <c r="F66" s="7">
        <v>15000</v>
      </c>
    </row>
    <row r="70" spans="1:6" x14ac:dyDescent="0.3">
      <c r="A70" s="9" t="s">
        <v>157</v>
      </c>
      <c r="C70" s="11">
        <f>C71</f>
        <v>25000</v>
      </c>
    </row>
    <row r="71" spans="1:6" x14ac:dyDescent="0.3">
      <c r="B71" t="s">
        <v>134</v>
      </c>
      <c r="C71" s="7">
        <v>25000</v>
      </c>
    </row>
  </sheetData>
  <conditionalFormatting sqref="D1:D2">
    <cfRule type="cellIs" dxfId="1" priority="1" operator="equal">
      <formula>"?"</formula>
    </cfRule>
    <cfRule type="cellIs" dxfId="0" priority="2" operator="equal">
      <formula>"="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Journal Entries</vt:lpstr>
      <vt:lpstr>Ledgers</vt:lpstr>
      <vt:lpstr>'Journal Entries'!Print_Titles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</cp:lastModifiedBy>
  <dcterms:created xsi:type="dcterms:W3CDTF">2026-07-15T02:39:29Z</dcterms:created>
  <dcterms:modified xsi:type="dcterms:W3CDTF">2026-07-15T14:54:48Z</dcterms:modified>
</cp:coreProperties>
</file>